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chenwang/Downloads/Assignment 5/"/>
    </mc:Choice>
  </mc:AlternateContent>
  <xr:revisionPtr revIDLastSave="0" documentId="13_ncr:1_{F6407A27-3039-FB4C-998C-402C58F5F8FF}" xr6:coauthVersionLast="46" xr6:coauthVersionMax="46" xr10:uidLastSave="{00000000-0000-0000-0000-000000000000}"/>
  <bookViews>
    <workbookView xWindow="47500" yWindow="6800" windowWidth="20520" windowHeight="9460" xr2:uid="{43A0C108-96F7-4A0F-97B3-F7B78537AF5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" l="1"/>
  <c r="C12" i="1"/>
  <c r="C13" i="1"/>
  <c r="B14" i="1"/>
  <c r="B10" i="1" s="1"/>
  <c r="B7" i="1" l="1"/>
  <c r="B9" i="1" l="1"/>
  <c r="B11" i="1" s="1"/>
  <c r="B8" i="1" l="1"/>
  <c r="C14" i="1" l="1"/>
  <c r="C7" i="1" s="1"/>
  <c r="C9" i="1" s="1"/>
  <c r="C8" i="1" s="1"/>
  <c r="C10" i="1"/>
  <c r="C11" i="1" l="1"/>
  <c r="D13" i="1"/>
  <c r="D14" i="1" s="1"/>
  <c r="D7" i="1" s="1"/>
  <c r="D9" i="1" s="1"/>
  <c r="D8" i="1" s="1"/>
  <c r="D10" i="1" l="1"/>
  <c r="D11" i="1"/>
  <c r="E12" i="1" s="1"/>
  <c r="E13" i="1"/>
  <c r="E14" i="1" l="1"/>
  <c r="E10" i="1"/>
  <c r="E7" i="1"/>
  <c r="E9" i="1" l="1"/>
  <c r="E8" i="1"/>
  <c r="F12" i="1" s="1"/>
  <c r="E11" i="1"/>
  <c r="F13" i="1" l="1"/>
  <c r="F14" i="1" s="1"/>
  <c r="F10" i="1" l="1"/>
  <c r="F7" i="1"/>
  <c r="F9" i="1" l="1"/>
  <c r="F11" i="1" s="1"/>
  <c r="F8" i="1"/>
</calcChain>
</file>

<file path=xl/sharedStrings.xml><?xml version="1.0" encoding="utf-8"?>
<sst xmlns="http://schemas.openxmlformats.org/spreadsheetml/2006/main" count="11" uniqueCount="11">
  <si>
    <t>$/delivery</t>
  </si>
  <si>
    <t>diesel cost ($)</t>
  </si>
  <si>
    <t>distance (mi)</t>
  </si>
  <si>
    <t>weight (lbs)</t>
  </si>
  <si>
    <t>max profit ($/hr)</t>
  </si>
  <si>
    <t>x2</t>
  </si>
  <si>
    <t>a</t>
  </si>
  <si>
    <t>b</t>
  </si>
  <si>
    <t>d</t>
  </si>
  <si>
    <t>x1speed to drive (mph)</t>
  </si>
  <si>
    <t>fx2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</si>
</sst>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D060-F1B6-4F8A-BBB2-8318E3DDAE96}">
  <sheetPr codeName="Sheet1"/>
  <dimension ref="A2:G14"/>
  <sheetViews>
    <sheetView tabSelected="1" zoomScaleNormal="100" workbookViewId="0">
      <selection activeCell="B15" sqref="B15"/>
    </sheetView>
  </sheetViews>
  <sheetFormatPr baseColWidth="10" defaultColWidth="8.83203125" defaultRowHeight="15" x14ac:dyDescent="0.2"/>
  <cols>
    <col min="1" max="1" width="17.33203125" bestFit="1" customWidth="1"/>
    <col min="2" max="2" width="9.1640625" customWidth="1"/>
  </cols>
  <sheetData>
    <row r="2" spans="1:7" x14ac:dyDescent="0.2">
      <c r="A2" t="s">
        <v>0</v>
      </c>
      <c r="B2">
        <v>1500</v>
      </c>
    </row>
    <row r="3" spans="1:7" x14ac:dyDescent="0.2">
      <c r="A3" t="s">
        <v>2</v>
      </c>
      <c r="B3">
        <v>1000</v>
      </c>
    </row>
    <row r="4" spans="1:7" x14ac:dyDescent="0.2">
      <c r="A4" t="s">
        <v>1</v>
      </c>
      <c r="B4" s="1">
        <v>2.5</v>
      </c>
    </row>
    <row r="5" spans="1:7" x14ac:dyDescent="0.2">
      <c r="A5" t="s">
        <v>3</v>
      </c>
      <c r="B5">
        <v>70000</v>
      </c>
    </row>
    <row r="7" spans="1:7" x14ac:dyDescent="0.2">
      <c r="A7" t="s">
        <v>9</v>
      </c>
      <c r="B7" s="1">
        <f>B12+B14</f>
        <v>1.6179999999999999</v>
      </c>
      <c r="C7" s="1">
        <f>C12+C14</f>
        <v>1.3819239999999999</v>
      </c>
      <c r="D7" s="1">
        <f t="shared" ref="D7:F7" si="0">D12+D14</f>
        <v>1.1458949679999999</v>
      </c>
      <c r="E7" s="1">
        <f t="shared" si="0"/>
        <v>1.0557318777760001</v>
      </c>
      <c r="F7" s="1">
        <f t="shared" si="0"/>
        <v>1.021289577310432</v>
      </c>
      <c r="G7" s="1"/>
    </row>
    <row r="8" spans="1:7" x14ac:dyDescent="0.2">
      <c r="A8" t="s">
        <v>4</v>
      </c>
      <c r="B8" s="1">
        <f>B7*$B$2/$B$3-(B7*$B$4/B9)</f>
        <v>2.0917217885204429</v>
      </c>
      <c r="C8" s="1">
        <f>C7*$B$2/$B$3-(C7*$B$4/C9)</f>
        <v>1.8420267179284109</v>
      </c>
      <c r="D8" s="1">
        <f t="shared" ref="D8:F8" si="1">D7*$B$2/$B$3-(D7*$B$4/D9)</f>
        <v>1.5281653384882254</v>
      </c>
      <c r="E8" s="1">
        <f t="shared" si="1"/>
        <v>1.4081877992833021</v>
      </c>
      <c r="F8" s="1">
        <f t="shared" si="1"/>
        <v>1.3623443777503781</v>
      </c>
      <c r="G8" s="1"/>
    </row>
    <row r="9" spans="1:7" x14ac:dyDescent="0.2">
      <c r="B9">
        <f>(6.12-B5/60000)*0.92 ^((B7-55)/5)</f>
        <v>12.064607426023073</v>
      </c>
      <c r="C9">
        <f>(6.12-C5/60000)*0.92 ^((C7-55)/5)</f>
        <v>14.965003655034627</v>
      </c>
      <c r="D9">
        <f t="shared" ref="D9:F9" si="2">(6.12-D5/60000)*0.92 ^((D7-55)/5)</f>
        <v>15.024023424935585</v>
      </c>
      <c r="E9">
        <f t="shared" si="2"/>
        <v>15.046630368388694</v>
      </c>
      <c r="F9">
        <f t="shared" si="2"/>
        <v>15.055275197231165</v>
      </c>
    </row>
    <row r="10" spans="1:7" x14ac:dyDescent="0.2">
      <c r="A10" t="s">
        <v>5</v>
      </c>
      <c r="B10">
        <f>B13-B14</f>
        <v>1.3820000000000001</v>
      </c>
      <c r="C10">
        <f>C13-C14</f>
        <v>1.236076</v>
      </c>
      <c r="D10">
        <f t="shared" ref="D10:F10" si="3">D13-D14</f>
        <v>1.090181032</v>
      </c>
      <c r="E10">
        <f t="shared" si="3"/>
        <v>1.034449154224</v>
      </c>
      <c r="F10">
        <f t="shared" si="3"/>
        <v>1.0131595769135679</v>
      </c>
    </row>
    <row r="11" spans="1:7" x14ac:dyDescent="0.2">
      <c r="A11" t="s">
        <v>10</v>
      </c>
      <c r="B11">
        <f>B10*$B$2/$B$3-(B10*$B$4/B9)</f>
        <v>1.7866251617646798</v>
      </c>
      <c r="C11">
        <f>C10*$B$2/$B$3-(C10*$B$4/C9)</f>
        <v>1.647619563297315</v>
      </c>
      <c r="D11">
        <f t="shared" ref="D11:F11" si="4">D10*$B$2/$B$3-(D10*$B$4/D9)</f>
        <v>1.453865242717187</v>
      </c>
      <c r="E11">
        <f t="shared" si="4"/>
        <v>1.3797998418176425</v>
      </c>
      <c r="F11">
        <f t="shared" si="4"/>
        <v>1.3514994023605924</v>
      </c>
    </row>
    <row r="12" spans="1:7" x14ac:dyDescent="0.2">
      <c r="A12" t="s">
        <v>6</v>
      </c>
      <c r="B12">
        <v>1</v>
      </c>
      <c r="C12">
        <f>IF(B8&lt;B11,B10,B12)</f>
        <v>1</v>
      </c>
      <c r="D12">
        <f t="shared" ref="D12:F12" si="5">IF(C8&lt;C11,C10,C12)</f>
        <v>1</v>
      </c>
      <c r="E12">
        <f t="shared" si="5"/>
        <v>1</v>
      </c>
      <c r="F12">
        <f t="shared" si="5"/>
        <v>1</v>
      </c>
    </row>
    <row r="13" spans="1:7" x14ac:dyDescent="0.2">
      <c r="A13" t="s">
        <v>7</v>
      </c>
      <c r="B13">
        <v>2</v>
      </c>
      <c r="C13">
        <f>IF(B8&lt;B11,B13,B7)</f>
        <v>1.6179999999999999</v>
      </c>
      <c r="D13">
        <f t="shared" ref="D13:F13" si="6">IF(C8&lt;C11,C13,C10)</f>
        <v>1.236076</v>
      </c>
      <c r="E13">
        <f t="shared" si="6"/>
        <v>1.090181032</v>
      </c>
      <c r="F13">
        <f t="shared" si="6"/>
        <v>1.034449154224</v>
      </c>
    </row>
    <row r="14" spans="1:7" x14ac:dyDescent="0.2">
      <c r="A14" t="s">
        <v>8</v>
      </c>
      <c r="B14">
        <f>(B13-B12)*0.618</f>
        <v>0.61799999999999999</v>
      </c>
      <c r="C14">
        <f t="shared" ref="C14:F14" si="7">(C13-C12)*0.618</f>
        <v>0.38192399999999993</v>
      </c>
      <c r="D14">
        <f t="shared" ref="D14" si="8">(D13-D12)*0.618</f>
        <v>0.14589496799999996</v>
      </c>
      <c r="E14">
        <f t="shared" ref="E14" si="9">(E13-E12)*0.618</f>
        <v>5.5731877776000027E-2</v>
      </c>
      <c r="F14">
        <f t="shared" ref="F14" si="10">(F13-F12)*0.618</f>
        <v>2.1289577310431979E-2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Microsoft Office User</cp:lastModifiedBy>
  <dcterms:created xsi:type="dcterms:W3CDTF">2017-11-03T17:33:56Z</dcterms:created>
  <dcterms:modified xsi:type="dcterms:W3CDTF">2021-01-02T20:25:30Z</dcterms:modified>
</cp:coreProperties>
</file>